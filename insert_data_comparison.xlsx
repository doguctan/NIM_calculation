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800" windowHeight="11640"/>
  </bookViews>
  <sheets>
    <sheet name="Example_Insert_Data" sheetId="1" r:id="rId1"/>
    <sheet name="README" sheetId="2" r:id="rId2"/>
  </sheets>
  <calcPr calcId="144525"/>
</workbook>
</file>

<file path=xl/comments1.xml><?xml version="1.0" encoding="utf-8"?>
<comments xmlns="http://schemas.openxmlformats.org/spreadsheetml/2006/main">
  <authors>
    <author>OpenAI</author>
  </authors>
  <commentList>
    <comment ref="C37" authorId="0">
      <text>
        <r>
          <rPr>
            <sz val="10"/>
            <rFont val="SimSun"/>
            <charset val="134"/>
          </rPr>
          <t>Formula-driven TRY NIM example.</t>
        </r>
      </text>
    </comment>
  </commentList>
</comments>
</file>

<file path=xl/sharedStrings.xml><?xml version="1.0" encoding="utf-8"?>
<sst xmlns="http://schemas.openxmlformats.org/spreadsheetml/2006/main" count="66" uniqueCount="44">
  <si>
    <t>01/01/2026</t>
  </si>
  <si>
    <t>01/02/2026</t>
  </si>
  <si>
    <t>01/03/2026</t>
  </si>
  <si>
    <t>01/04/2026</t>
  </si>
  <si>
    <t>01/05/2026</t>
  </si>
  <si>
    <t>01/06/2026</t>
  </si>
  <si>
    <t>01/07/2026</t>
  </si>
  <si>
    <t>01/08/2026</t>
  </si>
  <si>
    <t>Liabilities</t>
  </si>
  <si>
    <t>Av. Balance</t>
  </si>
  <si>
    <t>Yield (30 days adjusted)</t>
  </si>
  <si>
    <t>Total TRY book</t>
  </si>
  <si>
    <t>Bank deposits</t>
  </si>
  <si>
    <t>Repurchase agreements</t>
  </si>
  <si>
    <t>Total Customer Funds</t>
  </si>
  <si>
    <t xml:space="preserve">    -Customer time deposits</t>
  </si>
  <si>
    <t xml:space="preserve">    -Customer demand deposits</t>
  </si>
  <si>
    <t xml:space="preserve">    -Bond Issued</t>
  </si>
  <si>
    <t>Funds borrowed</t>
  </si>
  <si>
    <t>Other Liabilities &amp; Equity</t>
  </si>
  <si>
    <t>Swap borrowings</t>
  </si>
  <si>
    <t>FX Swap</t>
  </si>
  <si>
    <t>CCS</t>
  </si>
  <si>
    <t>IRS</t>
  </si>
  <si>
    <t>Trade Swaps</t>
  </si>
  <si>
    <t>Total FX book</t>
  </si>
  <si>
    <t>Bonds Issued</t>
  </si>
  <si>
    <t>Whole Sale Funding</t>
  </si>
  <si>
    <t>Other Liabilities</t>
  </si>
  <si>
    <t>Hedge &amp; Liquidity Swaps</t>
  </si>
  <si>
    <t>-FX Swap</t>
  </si>
  <si>
    <t>-CCS</t>
  </si>
  <si>
    <t>-IRS</t>
  </si>
  <si>
    <t>Total interest bearing liabilities</t>
  </si>
  <si>
    <t>NII (excluding other NII) - 30 day adj</t>
  </si>
  <si>
    <t>TRY NIM</t>
  </si>
  <si>
    <t>FX NIM</t>
  </si>
  <si>
    <t>Dummy insert_data example for TRY NIM dashboard</t>
  </si>
  <si>
    <t>This workbook matches the merged date header + metric pair format expected by the parser.</t>
  </si>
  <si>
    <t>Edit DATA_SOURCES in app.py to point to this file if you want to test the dashboard.</t>
  </si>
  <si>
    <t>Important rows:</t>
  </si>
  <si>
    <t>- Total TRY book (Assets / Liabilities)</t>
  </si>
  <si>
    <t>- TRY NIM</t>
  </si>
  <si>
    <t>- NII (excluding other NII) - 30 day adj</t>
  </si>
</sst>
</file>

<file path=xl/styles.xml><?xml version="1.0" encoding="utf-8"?>
<styleSheet xmlns="http://schemas.openxmlformats.org/spreadsheetml/2006/main">
  <numFmts count="7">
    <numFmt numFmtId="176" formatCode="#,##0.000;[Red]\(#,##0.000\);\-"/>
    <numFmt numFmtId="177" formatCode="0.#########"/>
    <numFmt numFmtId="42" formatCode="_-&quot;£&quot;* #,##0_-;\-&quot;£&quot;* #,##0_-;_-&quot;£&quot;* &quot;-&quot;_-;_-@_-"/>
    <numFmt numFmtId="178" formatCode="0.000000000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</numFmts>
  <fonts count="27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0"/>
      <name val="Calibri"/>
      <charset val="134"/>
      <scheme val="minor"/>
    </font>
    <font>
      <sz val="11"/>
      <color theme="1"/>
      <name val="Calibri"/>
      <charset val="134"/>
      <scheme val="minor"/>
    </font>
    <font>
      <sz val="9"/>
      <name val="Calibri"/>
      <charset val="134"/>
      <scheme val="minor"/>
    </font>
    <font>
      <sz val="10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0"/>
      <name val="SimSun"/>
      <charset val="134"/>
    </font>
  </fonts>
  <fills count="37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thin">
        <color rgb="FFB7B7B7"/>
      </bottom>
      <diagonal/>
    </border>
    <border>
      <left/>
      <right/>
      <top/>
      <bottom style="thin">
        <color rgb="FFD0D7DE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8" fillId="18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5" fillId="11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0" fillId="10" borderId="5" applyNumberFormat="0" applyFont="0" applyAlignment="0" applyProtection="0">
      <alignment vertical="center"/>
    </xf>
    <xf numFmtId="0" fontId="12" fillId="8" borderId="4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8" fillId="11" borderId="4" applyNumberFormat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7" fillId="16" borderId="7" applyNumberFormat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20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177" fontId="2" fillId="2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/>
    <xf numFmtId="0" fontId="2" fillId="3" borderId="1" xfId="0" applyFont="1" applyFill="1" applyBorder="1" applyAlignment="1">
      <alignment horizontal="left" vertical="center"/>
    </xf>
    <xf numFmtId="177" fontId="4" fillId="3" borderId="1" xfId="0" applyNumberFormat="1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177" fontId="5" fillId="2" borderId="2" xfId="0" applyNumberFormat="1" applyFont="1" applyFill="1" applyBorder="1" applyAlignment="1">
      <alignment vertical="center"/>
    </xf>
    <xf numFmtId="0" fontId="5" fillId="0" borderId="0" xfId="0" applyFont="1" applyFill="1" applyAlignment="1">
      <alignment horizontal="left" vertical="center"/>
    </xf>
    <xf numFmtId="177" fontId="5" fillId="0" borderId="0" xfId="0" applyNumberFormat="1" applyFont="1" applyFill="1" applyAlignment="1">
      <alignment vertical="center"/>
    </xf>
    <xf numFmtId="177" fontId="5" fillId="4" borderId="0" xfId="0" applyNumberFormat="1" applyFont="1" applyFill="1" applyAlignment="1">
      <alignment vertical="center"/>
    </xf>
    <xf numFmtId="177" fontId="3" fillId="0" borderId="0" xfId="0" applyNumberFormat="1" applyFont="1" applyFill="1" applyAlignment="1"/>
    <xf numFmtId="0" fontId="5" fillId="5" borderId="2" xfId="0" applyFont="1" applyFill="1" applyBorder="1" applyAlignment="1">
      <alignment horizontal="left" vertical="center"/>
    </xf>
    <xf numFmtId="177" fontId="5" fillId="5" borderId="2" xfId="0" applyNumberFormat="1" applyFont="1" applyFill="1" applyBorder="1" applyAlignment="1">
      <alignment vertical="center"/>
    </xf>
    <xf numFmtId="0" fontId="6" fillId="0" borderId="3" xfId="0" applyFont="1" applyBorder="1"/>
    <xf numFmtId="176" fontId="0" fillId="0" borderId="3" xfId="0" applyNumberFormat="1" applyBorder="1"/>
    <xf numFmtId="178" fontId="0" fillId="0" borderId="3" xfId="0" applyNumberFormat="1" applyBorder="1"/>
    <xf numFmtId="0" fontId="0" fillId="0" borderId="3" xfId="0" applyBorder="1"/>
    <xf numFmtId="0" fontId="1" fillId="0" borderId="3" xfId="0" applyFont="1" applyBorder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8"/>
  <sheetViews>
    <sheetView tabSelected="1" workbookViewId="0">
      <pane xSplit="1" ySplit="2" topLeftCell="B3" activePane="bottomRight" state="frozen"/>
      <selection/>
      <selection pane="topRight"/>
      <selection pane="bottomLeft"/>
      <selection pane="bottomRight" activeCell="C10" sqref="C10"/>
    </sheetView>
  </sheetViews>
  <sheetFormatPr defaultColWidth="9" defaultRowHeight="14"/>
  <cols>
    <col min="1" max="1" width="28" customWidth="1"/>
    <col min="2" max="14" width="16" customWidth="1"/>
  </cols>
  <sheetData>
    <row r="1" spans="1:17">
      <c r="A1" s="2"/>
      <c r="B1" s="3" t="s">
        <v>0</v>
      </c>
      <c r="C1" s="4"/>
      <c r="D1" s="3" t="s">
        <v>1</v>
      </c>
      <c r="E1" s="4"/>
      <c r="F1" s="3" t="s">
        <v>2</v>
      </c>
      <c r="G1" s="4"/>
      <c r="H1" s="3" t="s">
        <v>3</v>
      </c>
      <c r="I1" s="4"/>
      <c r="J1" s="3" t="s">
        <v>4</v>
      </c>
      <c r="K1" s="4"/>
      <c r="L1" s="3" t="s">
        <v>5</v>
      </c>
      <c r="M1" s="4"/>
      <c r="N1" s="3" t="s">
        <v>6</v>
      </c>
      <c r="O1" s="4"/>
      <c r="P1" s="3" t="s">
        <v>7</v>
      </c>
      <c r="Q1" s="4"/>
    </row>
    <row r="2" spans="1:17">
      <c r="A2" s="5" t="s">
        <v>8</v>
      </c>
      <c r="B2" s="6" t="s">
        <v>9</v>
      </c>
      <c r="C2" s="6" t="s">
        <v>10</v>
      </c>
      <c r="D2" s="6" t="s">
        <v>9</v>
      </c>
      <c r="E2" s="6" t="s">
        <v>10</v>
      </c>
      <c r="F2" s="6" t="s">
        <v>9</v>
      </c>
      <c r="G2" s="6" t="s">
        <v>10</v>
      </c>
      <c r="H2" s="6" t="s">
        <v>9</v>
      </c>
      <c r="I2" s="6" t="s">
        <v>10</v>
      </c>
      <c r="J2" s="6" t="s">
        <v>9</v>
      </c>
      <c r="K2" s="6" t="s">
        <v>10</v>
      </c>
      <c r="L2" s="6" t="s">
        <v>9</v>
      </c>
      <c r="M2" s="6" t="s">
        <v>10</v>
      </c>
      <c r="N2" s="6" t="s">
        <v>9</v>
      </c>
      <c r="O2" s="6" t="s">
        <v>10</v>
      </c>
      <c r="P2" s="6" t="s">
        <v>9</v>
      </c>
      <c r="Q2" s="6" t="s">
        <v>10</v>
      </c>
    </row>
    <row r="3" spans="1:17">
      <c r="A3" s="7" t="s">
        <v>11</v>
      </c>
      <c r="B3" s="8">
        <v>589538.0364</v>
      </c>
      <c r="C3" s="8">
        <v>0.154241884</v>
      </c>
      <c r="D3" s="8">
        <v>612129.2397</v>
      </c>
      <c r="E3" s="8">
        <v>0.150584793</v>
      </c>
      <c r="F3" s="8">
        <v>633547.1053</v>
      </c>
      <c r="G3" s="8">
        <v>0.143940843</v>
      </c>
      <c r="H3" s="8">
        <v>562748.3521</v>
      </c>
      <c r="I3" s="8">
        <v>0.140691272</v>
      </c>
      <c r="J3" s="8">
        <v>562748.3521</v>
      </c>
      <c r="K3" s="8">
        <v>0.140691272</v>
      </c>
      <c r="L3" s="8">
        <v>598885.4214</v>
      </c>
      <c r="M3" s="8">
        <v>0.135604801</v>
      </c>
      <c r="N3" s="8">
        <v>617223.6345</v>
      </c>
      <c r="O3" s="8">
        <v>0.131211275</v>
      </c>
      <c r="P3" s="8">
        <v>624735.0614</v>
      </c>
      <c r="Q3" s="8">
        <v>0.127574347</v>
      </c>
    </row>
    <row r="4" spans="1:17">
      <c r="A4" s="9" t="s">
        <v>12</v>
      </c>
      <c r="B4" s="10">
        <v>5616.053796</v>
      </c>
      <c r="C4" s="10">
        <v>0.218694854</v>
      </c>
      <c r="D4" s="10">
        <v>6717.735266</v>
      </c>
      <c r="E4" s="10">
        <v>0.212662407</v>
      </c>
      <c r="F4" s="10">
        <v>7317.34748</v>
      </c>
      <c r="G4" s="10">
        <v>0.202468989</v>
      </c>
      <c r="H4" s="10">
        <v>5717.153142</v>
      </c>
      <c r="I4" s="10">
        <v>0.191570216</v>
      </c>
      <c r="J4" s="10">
        <v>6806.269651</v>
      </c>
      <c r="K4" s="10">
        <v>0.186436065</v>
      </c>
      <c r="L4" s="10">
        <v>6421.810155</v>
      </c>
      <c r="M4" s="10">
        <v>0.189003601</v>
      </c>
      <c r="N4" s="10">
        <v>9540.794668</v>
      </c>
      <c r="O4" s="10">
        <v>0.182405311</v>
      </c>
      <c r="P4" s="10">
        <v>9338.64641</v>
      </c>
      <c r="Q4" s="10">
        <v>0.174706809</v>
      </c>
    </row>
    <row r="5" spans="1:17">
      <c r="A5" s="9" t="s">
        <v>13</v>
      </c>
      <c r="B5" s="10">
        <v>52081.05932</v>
      </c>
      <c r="C5" s="10">
        <v>0.230951736</v>
      </c>
      <c r="D5" s="10">
        <v>59655.8793</v>
      </c>
      <c r="E5" s="10">
        <v>0.220146837</v>
      </c>
      <c r="F5" s="10">
        <v>56925.43812</v>
      </c>
      <c r="G5" s="10">
        <v>0.208078559</v>
      </c>
      <c r="H5" s="10">
        <v>57508.57711</v>
      </c>
      <c r="I5" s="10">
        <v>0.200817637</v>
      </c>
      <c r="J5" s="10">
        <v>56656.66455</v>
      </c>
      <c r="K5" s="10">
        <v>0.19545139</v>
      </c>
      <c r="L5" s="10">
        <v>52360.48243</v>
      </c>
      <c r="M5" s="10">
        <v>0.192028406</v>
      </c>
      <c r="N5" s="10">
        <v>60150.06489</v>
      </c>
      <c r="O5" s="10">
        <v>0.187191412</v>
      </c>
      <c r="P5" s="10">
        <v>45190.35842</v>
      </c>
      <c r="Q5" s="10">
        <v>0.183042703</v>
      </c>
    </row>
    <row r="6" spans="1:17">
      <c r="A6" s="7" t="s">
        <v>14</v>
      </c>
      <c r="B6" s="8">
        <v>328462.1438</v>
      </c>
      <c r="C6" s="8">
        <v>0.192039697</v>
      </c>
      <c r="D6" s="8">
        <v>328406.3236</v>
      </c>
      <c r="E6" s="8">
        <v>0.18835311</v>
      </c>
      <c r="F6" s="8">
        <v>342243.1213</v>
      </c>
      <c r="G6" s="8">
        <v>0.180828605</v>
      </c>
      <c r="H6" s="8">
        <v>281315.6076</v>
      </c>
      <c r="I6" s="8">
        <v>0.185711565</v>
      </c>
      <c r="J6" s="8">
        <v>282559.6394</v>
      </c>
      <c r="K6" s="8">
        <v>0.181757869</v>
      </c>
      <c r="L6" s="8">
        <v>297087.2914</v>
      </c>
      <c r="M6" s="8">
        <v>0.179573987</v>
      </c>
      <c r="N6" s="8">
        <v>297376.8739</v>
      </c>
      <c r="O6" s="8">
        <v>0.173386996</v>
      </c>
      <c r="P6" s="8">
        <v>307789.8682</v>
      </c>
      <c r="Q6" s="8">
        <v>0.171081371</v>
      </c>
    </row>
    <row r="7" spans="1:17">
      <c r="A7" s="9" t="s">
        <v>15</v>
      </c>
      <c r="B7" s="10">
        <v>279288.8071</v>
      </c>
      <c r="C7" s="10">
        <v>0.220689468</v>
      </c>
      <c r="D7" s="10">
        <v>278990.6444</v>
      </c>
      <c r="E7" s="10">
        <v>0.216364471</v>
      </c>
      <c r="F7" s="10">
        <v>291493.423</v>
      </c>
      <c r="G7" s="10">
        <v>0.207311914</v>
      </c>
      <c r="H7" s="10">
        <v>242857.6296</v>
      </c>
      <c r="I7" s="10">
        <v>0.208315622</v>
      </c>
      <c r="J7" s="10">
        <v>242773.7456</v>
      </c>
      <c r="K7" s="10">
        <v>0.203369603</v>
      </c>
      <c r="L7" s="10">
        <v>255882.9708</v>
      </c>
      <c r="M7" s="10">
        <v>0.201161373</v>
      </c>
      <c r="N7" s="10">
        <v>255117.7565</v>
      </c>
      <c r="O7" s="10">
        <v>0.195424226</v>
      </c>
      <c r="P7" s="10">
        <v>264367.9541</v>
      </c>
      <c r="Q7" s="10">
        <v>0.191737685</v>
      </c>
    </row>
    <row r="8" spans="1:17">
      <c r="A8" s="9" t="s">
        <v>16</v>
      </c>
      <c r="B8" s="10">
        <v>42265.21963</v>
      </c>
      <c r="C8" s="10">
        <v>0</v>
      </c>
      <c r="D8" s="10">
        <v>42406.92296</v>
      </c>
      <c r="E8" s="10">
        <v>0</v>
      </c>
      <c r="F8" s="10">
        <v>44122.51527</v>
      </c>
      <c r="G8" s="10">
        <v>0</v>
      </c>
      <c r="H8" s="10">
        <v>30987.79802</v>
      </c>
      <c r="I8" s="10">
        <v>0</v>
      </c>
      <c r="J8" s="10">
        <v>30761.1359</v>
      </c>
      <c r="K8" s="10">
        <v>0</v>
      </c>
      <c r="L8" s="10">
        <v>32113.28726</v>
      </c>
      <c r="M8" s="10">
        <v>0</v>
      </c>
      <c r="N8" s="10">
        <v>33788.66617</v>
      </c>
      <c r="O8" s="10">
        <v>0</v>
      </c>
      <c r="P8" s="10">
        <v>33800.37074</v>
      </c>
      <c r="Q8" s="10">
        <v>0</v>
      </c>
    </row>
    <row r="9" spans="1:17">
      <c r="A9" s="9" t="s">
        <v>17</v>
      </c>
      <c r="B9" s="10">
        <v>6908.117057</v>
      </c>
      <c r="C9" s="10">
        <v>0.208692542</v>
      </c>
      <c r="D9" s="10">
        <v>7008.756256</v>
      </c>
      <c r="E9" s="10">
        <v>0.212974896</v>
      </c>
      <c r="F9" s="10">
        <v>6627.182969</v>
      </c>
      <c r="G9" s="10">
        <v>0.219895371</v>
      </c>
      <c r="H9" s="10">
        <v>7470.179953</v>
      </c>
      <c r="I9" s="10">
        <v>0.221216014</v>
      </c>
      <c r="J9" s="10">
        <v>9024.757855</v>
      </c>
      <c r="K9" s="10">
        <v>0.219910367</v>
      </c>
      <c r="L9" s="10">
        <v>9091.033307</v>
      </c>
      <c r="M9" s="10">
        <v>0.206288936</v>
      </c>
      <c r="N9" s="10">
        <v>8470.45128</v>
      </c>
      <c r="O9" s="10">
        <v>0.201298933</v>
      </c>
      <c r="P9" s="10">
        <v>9621.543432</v>
      </c>
      <c r="Q9" s="10">
        <v>0.204521579</v>
      </c>
    </row>
    <row r="10" spans="1:17">
      <c r="A10" s="9" t="s">
        <v>18</v>
      </c>
      <c r="B10" s="10">
        <v>2991.560043</v>
      </c>
      <c r="C10" s="10">
        <v>0.204243197</v>
      </c>
      <c r="D10" s="10">
        <v>2526.691507</v>
      </c>
      <c r="E10" s="10">
        <v>0.195608761</v>
      </c>
      <c r="F10" s="10">
        <v>3456.523934</v>
      </c>
      <c r="G10" s="10">
        <v>0.186942314</v>
      </c>
      <c r="H10" s="10">
        <v>2563.113013</v>
      </c>
      <c r="I10" s="10">
        <v>0.208009382</v>
      </c>
      <c r="J10" s="10">
        <v>3158.335638</v>
      </c>
      <c r="K10" s="10">
        <v>0.189562814</v>
      </c>
      <c r="L10" s="10">
        <v>2462.74854</v>
      </c>
      <c r="M10" s="10">
        <v>0.186684793</v>
      </c>
      <c r="N10" s="10">
        <v>1886.018444</v>
      </c>
      <c r="O10" s="10">
        <v>0.180295574</v>
      </c>
      <c r="P10" s="10">
        <v>2040.169332</v>
      </c>
      <c r="Q10" s="10">
        <v>0.19245983</v>
      </c>
    </row>
    <row r="11" spans="1:17">
      <c r="A11" s="9" t="s">
        <v>19</v>
      </c>
      <c r="B11" s="10">
        <v>128904.9182</v>
      </c>
      <c r="C11" s="10">
        <v>0</v>
      </c>
      <c r="D11" s="10">
        <v>133533.893</v>
      </c>
      <c r="E11" s="10">
        <v>0</v>
      </c>
      <c r="F11" s="10">
        <v>137947.7307</v>
      </c>
      <c r="G11" s="10">
        <v>0</v>
      </c>
      <c r="H11" s="10">
        <v>138617.9254</v>
      </c>
      <c r="I11" s="10">
        <v>0</v>
      </c>
      <c r="J11" s="10">
        <v>141958.5912</v>
      </c>
      <c r="K11" s="10">
        <v>0</v>
      </c>
      <c r="L11" s="10">
        <v>145366.241</v>
      </c>
      <c r="M11" s="10">
        <v>0</v>
      </c>
      <c r="N11" s="10">
        <v>152016.3145</v>
      </c>
      <c r="O11" s="10">
        <v>0</v>
      </c>
      <c r="P11" s="10">
        <v>158134.9286</v>
      </c>
      <c r="Q11" s="10">
        <v>0</v>
      </c>
    </row>
    <row r="12" spans="1:17">
      <c r="A12" s="9" t="s">
        <v>20</v>
      </c>
      <c r="B12" s="11">
        <v>44860.28497</v>
      </c>
      <c r="C12" s="12">
        <v>0</v>
      </c>
      <c r="D12" s="11">
        <v>47379.69004</v>
      </c>
      <c r="E12" s="12">
        <v>0</v>
      </c>
      <c r="F12" s="11">
        <v>47248.44984</v>
      </c>
      <c r="G12" s="12">
        <v>0</v>
      </c>
      <c r="H12" s="11">
        <v>49776.15571</v>
      </c>
      <c r="I12" s="12">
        <v>0</v>
      </c>
      <c r="J12" s="11">
        <v>58673.93228</v>
      </c>
      <c r="K12" s="12">
        <v>0</v>
      </c>
      <c r="L12" s="11">
        <v>55029.59458</v>
      </c>
      <c r="M12" s="12">
        <v>0</v>
      </c>
      <c r="N12" s="11">
        <v>56617.51628</v>
      </c>
      <c r="O12" s="12">
        <v>0</v>
      </c>
      <c r="P12" s="11">
        <v>55900.09449</v>
      </c>
      <c r="Q12" s="12">
        <v>0</v>
      </c>
    </row>
    <row r="13" spans="1:17">
      <c r="A13" s="13" t="s">
        <v>21</v>
      </c>
      <c r="B13" s="14">
        <v>14817.90743</v>
      </c>
      <c r="C13" s="14">
        <v>0.199288055</v>
      </c>
      <c r="D13" s="14">
        <v>16748.43975</v>
      </c>
      <c r="E13" s="14">
        <v>0.182626298</v>
      </c>
      <c r="F13" s="14">
        <v>15681.15807</v>
      </c>
      <c r="G13" s="14">
        <v>0.167237187</v>
      </c>
      <c r="H13" s="14">
        <v>19715.14957</v>
      </c>
      <c r="I13" s="14">
        <v>0.163023385</v>
      </c>
      <c r="J13" s="14">
        <v>26306.24843</v>
      </c>
      <c r="K13" s="14">
        <v>0.157659091</v>
      </c>
      <c r="L13" s="14">
        <v>21916.22845</v>
      </c>
      <c r="M13" s="14">
        <v>0.14739054</v>
      </c>
      <c r="N13" s="14">
        <v>24111.24561</v>
      </c>
      <c r="O13" s="14">
        <v>0.145057754</v>
      </c>
      <c r="P13" s="14">
        <v>23140.91804</v>
      </c>
      <c r="Q13" s="14">
        <v>0.141445305</v>
      </c>
    </row>
    <row r="14" spans="1:17">
      <c r="A14" s="9" t="s">
        <v>22</v>
      </c>
      <c r="B14" s="10">
        <v>23135.86181</v>
      </c>
      <c r="C14" s="10">
        <v>0.176430021</v>
      </c>
      <c r="D14" s="10">
        <v>23398.15562</v>
      </c>
      <c r="E14" s="10">
        <v>0.173098602</v>
      </c>
      <c r="F14" s="10">
        <v>23888.77619</v>
      </c>
      <c r="G14" s="10">
        <v>0.172293548</v>
      </c>
      <c r="H14" s="10">
        <v>23886.44576</v>
      </c>
      <c r="I14" s="10">
        <v>0.175506124</v>
      </c>
      <c r="J14" s="10">
        <v>23934.08027</v>
      </c>
      <c r="K14" s="10">
        <v>0.178651938</v>
      </c>
      <c r="L14" s="10">
        <v>24171.36013</v>
      </c>
      <c r="M14" s="10">
        <v>0.181889287</v>
      </c>
      <c r="N14" s="10">
        <v>23564.26467</v>
      </c>
      <c r="O14" s="10">
        <v>0.182250322</v>
      </c>
      <c r="P14" s="10">
        <v>23360.086</v>
      </c>
      <c r="Q14" s="10">
        <v>0.181071777</v>
      </c>
    </row>
    <row r="15" spans="1:17">
      <c r="A15" s="9" t="s">
        <v>23</v>
      </c>
      <c r="B15" s="10">
        <v>6906.515721</v>
      </c>
      <c r="C15" s="10">
        <v>0.185376824</v>
      </c>
      <c r="D15" s="10">
        <v>7233.094674</v>
      </c>
      <c r="E15" s="10">
        <v>0.181846828</v>
      </c>
      <c r="F15" s="10">
        <v>7678.515583</v>
      </c>
      <c r="G15" s="10">
        <v>0.178895884</v>
      </c>
      <c r="H15" s="10">
        <v>7678.515583</v>
      </c>
      <c r="I15" s="10">
        <v>0.177456342</v>
      </c>
      <c r="J15" s="10">
        <v>8433.603576</v>
      </c>
      <c r="K15" s="10">
        <v>0.174446928</v>
      </c>
      <c r="L15" s="10">
        <v>8942.006001</v>
      </c>
      <c r="M15" s="10">
        <v>0.173906893</v>
      </c>
      <c r="N15" s="10">
        <v>8942.006001</v>
      </c>
      <c r="O15" s="10">
        <v>0.173131298</v>
      </c>
      <c r="P15" s="10">
        <v>9399.090444</v>
      </c>
      <c r="Q15" s="10">
        <v>0.166225931</v>
      </c>
    </row>
    <row r="16" spans="1:17">
      <c r="A16" s="9" t="s">
        <v>24</v>
      </c>
      <c r="B16" s="10">
        <v>26622.01627</v>
      </c>
      <c r="C16" s="10">
        <v>0.213021705</v>
      </c>
      <c r="D16" s="10">
        <v>33909.02697</v>
      </c>
      <c r="E16" s="10">
        <v>0.201742375</v>
      </c>
      <c r="F16" s="10">
        <v>38408.49398</v>
      </c>
      <c r="G16" s="10">
        <v>0.188012558</v>
      </c>
      <c r="H16" s="10">
        <v>27249.82015</v>
      </c>
      <c r="I16" s="10">
        <v>0.182909332</v>
      </c>
      <c r="J16" s="10">
        <v>32107.48048</v>
      </c>
      <c r="K16" s="10">
        <v>0.17933539</v>
      </c>
      <c r="L16" s="10">
        <v>40157.25334</v>
      </c>
      <c r="M16" s="10">
        <v>0.173133184</v>
      </c>
      <c r="N16" s="10">
        <v>39636.05182</v>
      </c>
      <c r="O16" s="10">
        <v>0.170179658</v>
      </c>
      <c r="P16" s="10">
        <v>46340.99594</v>
      </c>
      <c r="Q16" s="10">
        <v>0.165764983</v>
      </c>
    </row>
    <row r="17" spans="1:17">
      <c r="A17" s="7" t="s">
        <v>25</v>
      </c>
      <c r="B17" s="8">
        <v>437184.2284</v>
      </c>
      <c r="C17" s="8">
        <v>0.017229529</v>
      </c>
      <c r="D17" s="8">
        <v>447654.7223</v>
      </c>
      <c r="E17" s="8">
        <v>0.016755924</v>
      </c>
      <c r="F17" s="8">
        <v>451269.2134</v>
      </c>
      <c r="G17" s="8">
        <v>0.01742771</v>
      </c>
      <c r="H17" s="8">
        <v>443919.6932</v>
      </c>
      <c r="I17" s="8">
        <v>0.017965162</v>
      </c>
      <c r="J17" s="8">
        <v>443919.6932</v>
      </c>
      <c r="K17" s="8">
        <v>0.017965162</v>
      </c>
      <c r="L17" s="8">
        <v>472689.4653</v>
      </c>
      <c r="M17" s="8">
        <v>0.016744357</v>
      </c>
      <c r="N17" s="8">
        <v>488433.8047</v>
      </c>
      <c r="O17" s="8">
        <v>0.017059862</v>
      </c>
      <c r="P17" s="8">
        <v>512523.8196</v>
      </c>
      <c r="Q17" s="8">
        <v>0.016646816</v>
      </c>
    </row>
    <row r="18" spans="1:17">
      <c r="A18" s="9" t="s">
        <v>12</v>
      </c>
      <c r="B18" s="10">
        <v>20633.6428</v>
      </c>
      <c r="C18" s="10">
        <v>0.022653267</v>
      </c>
      <c r="D18" s="10">
        <v>19236.35819</v>
      </c>
      <c r="E18" s="10">
        <v>0.022458686</v>
      </c>
      <c r="F18" s="10">
        <v>19896.06129</v>
      </c>
      <c r="G18" s="10">
        <v>0.02273718</v>
      </c>
      <c r="H18" s="10">
        <v>22054.08113</v>
      </c>
      <c r="I18" s="10">
        <v>0.021858975</v>
      </c>
      <c r="J18" s="10">
        <v>24354.04312</v>
      </c>
      <c r="K18" s="10">
        <v>0.020275622</v>
      </c>
      <c r="L18" s="10">
        <v>21413.76927</v>
      </c>
      <c r="M18" s="10">
        <v>0.019497647</v>
      </c>
      <c r="N18" s="10">
        <v>21736.09351</v>
      </c>
      <c r="O18" s="10">
        <v>0.019748425</v>
      </c>
      <c r="P18" s="10">
        <v>25139.7234</v>
      </c>
      <c r="Q18" s="10">
        <v>0.018553101</v>
      </c>
    </row>
    <row r="19" spans="1:17">
      <c r="A19" s="7" t="s">
        <v>14</v>
      </c>
      <c r="B19" s="8">
        <v>146812.7857</v>
      </c>
      <c r="C19" s="8">
        <v>0.000530132</v>
      </c>
      <c r="D19" s="8">
        <v>148683.9814</v>
      </c>
      <c r="E19" s="8">
        <v>0.000367903</v>
      </c>
      <c r="F19" s="8">
        <v>148047.349</v>
      </c>
      <c r="G19" s="8">
        <v>0.00041242</v>
      </c>
      <c r="H19" s="8">
        <v>136309.8114</v>
      </c>
      <c r="I19" s="8">
        <v>0.000446595</v>
      </c>
      <c r="J19" s="8">
        <v>146661.1359</v>
      </c>
      <c r="K19" s="8">
        <v>0.00044739</v>
      </c>
      <c r="L19" s="8">
        <v>151313.9439</v>
      </c>
      <c r="M19" s="8">
        <v>0.000403364</v>
      </c>
      <c r="N19" s="8">
        <v>161537.0378</v>
      </c>
      <c r="O19" s="8">
        <v>0.000522833</v>
      </c>
      <c r="P19" s="8">
        <v>178011.1903</v>
      </c>
      <c r="Q19" s="8">
        <v>0.000977069</v>
      </c>
    </row>
    <row r="20" spans="1:17">
      <c r="A20" s="9" t="s">
        <v>15</v>
      </c>
      <c r="B20" s="10">
        <v>22098.00218</v>
      </c>
      <c r="C20" s="10">
        <v>0.003522043</v>
      </c>
      <c r="D20" s="10">
        <v>20267.03159</v>
      </c>
      <c r="E20" s="10">
        <v>0.00269903</v>
      </c>
      <c r="F20" s="10">
        <v>19409.74182</v>
      </c>
      <c r="G20" s="10">
        <v>0.003145726</v>
      </c>
      <c r="H20" s="10">
        <v>19151.47138</v>
      </c>
      <c r="I20" s="10">
        <v>0.003178621</v>
      </c>
      <c r="J20" s="10">
        <v>20111.49644</v>
      </c>
      <c r="K20" s="10">
        <v>0.00326255</v>
      </c>
      <c r="L20" s="10">
        <v>20470.66635</v>
      </c>
      <c r="M20" s="10">
        <v>0.002981564</v>
      </c>
      <c r="N20" s="10">
        <v>23017.48019</v>
      </c>
      <c r="O20" s="10">
        <v>0.003669248</v>
      </c>
      <c r="P20" s="10">
        <v>28657.46806</v>
      </c>
      <c r="Q20" s="10">
        <v>0.006069247</v>
      </c>
    </row>
    <row r="21" spans="1:17">
      <c r="A21" s="9" t="s">
        <v>16</v>
      </c>
      <c r="B21" s="10">
        <v>124714.7835</v>
      </c>
      <c r="C21" s="10">
        <v>0</v>
      </c>
      <c r="D21" s="10">
        <v>128416.9498</v>
      </c>
      <c r="E21" s="10">
        <v>0</v>
      </c>
      <c r="F21" s="10">
        <v>128637.6072</v>
      </c>
      <c r="G21" s="10">
        <v>0</v>
      </c>
      <c r="H21" s="10">
        <v>117158.34</v>
      </c>
      <c r="I21" s="10">
        <v>0</v>
      </c>
      <c r="J21" s="10">
        <v>126549.6395</v>
      </c>
      <c r="K21" s="10">
        <v>0</v>
      </c>
      <c r="L21" s="10">
        <v>130843.2775</v>
      </c>
      <c r="M21" s="10">
        <v>0</v>
      </c>
      <c r="N21" s="10">
        <v>138519.5576</v>
      </c>
      <c r="O21" s="10">
        <v>0</v>
      </c>
      <c r="P21" s="10">
        <v>149353.7222</v>
      </c>
      <c r="Q21" s="10">
        <v>0</v>
      </c>
    </row>
    <row r="22" spans="1:17">
      <c r="A22" s="9" t="s">
        <v>26</v>
      </c>
      <c r="B22" s="10">
        <v>54781.03509</v>
      </c>
      <c r="C22" s="10">
        <v>0.032166967</v>
      </c>
      <c r="D22" s="10">
        <v>54814.27055</v>
      </c>
      <c r="E22" s="10">
        <v>0.032146019</v>
      </c>
      <c r="F22" s="10">
        <v>55471.43004</v>
      </c>
      <c r="G22" s="10">
        <v>0.032331374</v>
      </c>
      <c r="H22" s="10">
        <v>56681.86735</v>
      </c>
      <c r="I22" s="10">
        <v>0.031663152</v>
      </c>
      <c r="J22" s="10">
        <v>59755.01118</v>
      </c>
      <c r="K22" s="10">
        <v>0.031390457</v>
      </c>
      <c r="L22" s="10">
        <v>60150.36113</v>
      </c>
      <c r="M22" s="10">
        <v>0.030925916</v>
      </c>
      <c r="N22" s="10">
        <v>62152.44837</v>
      </c>
      <c r="O22" s="10">
        <v>0.030780192</v>
      </c>
      <c r="P22" s="10">
        <v>66532.72868</v>
      </c>
      <c r="Q22" s="10">
        <v>0.029816246</v>
      </c>
    </row>
    <row r="23" spans="1:17">
      <c r="A23" s="9" t="s">
        <v>27</v>
      </c>
      <c r="B23" s="10">
        <v>111849.3101</v>
      </c>
      <c r="C23" s="10">
        <v>0.029791731</v>
      </c>
      <c r="D23" s="10">
        <v>119013.0814</v>
      </c>
      <c r="E23" s="10">
        <v>0.029307313</v>
      </c>
      <c r="F23" s="10">
        <v>122067.6068</v>
      </c>
      <c r="G23" s="10">
        <v>0.02950269</v>
      </c>
      <c r="H23" s="10">
        <v>122025.3678</v>
      </c>
      <c r="I23" s="10">
        <v>0.029094491</v>
      </c>
      <c r="J23" s="10">
        <v>122590.0061</v>
      </c>
      <c r="K23" s="10">
        <v>0.029091469</v>
      </c>
      <c r="L23" s="10">
        <v>122787.1274</v>
      </c>
      <c r="M23" s="10">
        <v>0.028789721</v>
      </c>
      <c r="N23" s="10">
        <v>126919.6859</v>
      </c>
      <c r="O23" s="10">
        <v>0.029619257</v>
      </c>
      <c r="P23" s="10">
        <v>125323.457</v>
      </c>
      <c r="Q23" s="10">
        <v>0.029464834</v>
      </c>
    </row>
    <row r="24" spans="1:17">
      <c r="A24" s="9" t="s">
        <v>13</v>
      </c>
      <c r="B24" s="10">
        <v>17058.07658</v>
      </c>
      <c r="C24" s="10">
        <v>0.025399933</v>
      </c>
      <c r="D24" s="10">
        <v>17025.95353</v>
      </c>
      <c r="E24" s="10">
        <v>0.025665617</v>
      </c>
      <c r="F24" s="10">
        <v>16508.15056</v>
      </c>
      <c r="G24" s="10">
        <v>0.025809229</v>
      </c>
      <c r="H24" s="10">
        <v>16463.35055</v>
      </c>
      <c r="I24" s="10">
        <v>0.025741406</v>
      </c>
      <c r="J24" s="10">
        <v>16333.11974</v>
      </c>
      <c r="K24" s="10">
        <v>0.025660675</v>
      </c>
      <c r="L24" s="10">
        <v>18067.213</v>
      </c>
      <c r="M24" s="10">
        <v>0.024935316</v>
      </c>
      <c r="N24" s="10">
        <v>19801.91731</v>
      </c>
      <c r="O24" s="10">
        <v>0.024811256</v>
      </c>
      <c r="P24" s="10">
        <v>21332.53788</v>
      </c>
      <c r="Q24" s="10">
        <v>0.024298983</v>
      </c>
    </row>
    <row r="25" spans="1:17">
      <c r="A25" s="9" t="s">
        <v>28</v>
      </c>
      <c r="B25" s="10">
        <v>10029.02215</v>
      </c>
      <c r="C25" s="10">
        <v>0</v>
      </c>
      <c r="D25" s="10">
        <v>10893.30976</v>
      </c>
      <c r="E25" s="10">
        <v>0</v>
      </c>
      <c r="F25" s="10">
        <v>10805.22707</v>
      </c>
      <c r="G25" s="10">
        <v>0</v>
      </c>
      <c r="H25" s="10">
        <v>12080.17257</v>
      </c>
      <c r="I25" s="10">
        <v>0</v>
      </c>
      <c r="J25" s="10">
        <v>14731.46096</v>
      </c>
      <c r="K25" s="10">
        <v>0</v>
      </c>
      <c r="L25" s="10">
        <v>13937.6352</v>
      </c>
      <c r="M25" s="10">
        <v>0</v>
      </c>
      <c r="N25" s="10">
        <v>14501.78253</v>
      </c>
      <c r="O25" s="10">
        <v>0</v>
      </c>
      <c r="P25" s="10">
        <v>14740.10463</v>
      </c>
      <c r="Q25" s="10">
        <v>0</v>
      </c>
    </row>
    <row r="26" spans="1:17">
      <c r="A26" s="9" t="s">
        <v>29</v>
      </c>
      <c r="B26" s="10">
        <v>76020.35597</v>
      </c>
      <c r="C26" s="10">
        <v>0.019200522</v>
      </c>
      <c r="D26" s="10">
        <v>77987.76747</v>
      </c>
      <c r="E26" s="10">
        <v>0.017017389</v>
      </c>
      <c r="F26" s="10">
        <v>78473.38873</v>
      </c>
      <c r="G26" s="10">
        <v>0.019500851</v>
      </c>
      <c r="H26" s="10">
        <v>78305.04248</v>
      </c>
      <c r="I26" s="10">
        <v>0.021241951</v>
      </c>
      <c r="J26" s="10">
        <v>84178.50166</v>
      </c>
      <c r="K26" s="10">
        <v>0.018891445</v>
      </c>
      <c r="L26" s="10">
        <v>85019.41539</v>
      </c>
      <c r="M26" s="10">
        <v>0.018708722</v>
      </c>
      <c r="N26" s="10">
        <v>81784.83921</v>
      </c>
      <c r="O26" s="10">
        <v>0.020239221</v>
      </c>
      <c r="P26" s="10">
        <v>81444.07779</v>
      </c>
      <c r="Q26" s="10">
        <v>0.020833812</v>
      </c>
    </row>
    <row r="27" spans="1:17">
      <c r="A27" s="9" t="s">
        <v>30</v>
      </c>
      <c r="B27" s="10">
        <v>15.98153724</v>
      </c>
      <c r="C27" s="10">
        <v>13.36815275</v>
      </c>
      <c r="D27" s="10">
        <v>457.0964799</v>
      </c>
      <c r="E27" s="10">
        <v>0.529164262</v>
      </c>
      <c r="F27" s="10">
        <v>1570.506627</v>
      </c>
      <c r="G27" s="10">
        <v>0.158347361</v>
      </c>
      <c r="H27" s="10">
        <v>430.4286699</v>
      </c>
      <c r="I27" s="10">
        <v>0.874118245</v>
      </c>
      <c r="J27" s="10">
        <v>5459.501683</v>
      </c>
      <c r="K27" s="10">
        <v>0.055337455</v>
      </c>
      <c r="L27" s="10">
        <v>5612.174264</v>
      </c>
      <c r="M27" s="10">
        <v>0.054686745</v>
      </c>
      <c r="N27" s="10">
        <v>1525.410329</v>
      </c>
      <c r="O27" s="10">
        <v>0.245836898</v>
      </c>
      <c r="P27" s="10">
        <v>891.8487273</v>
      </c>
      <c r="Q27" s="10">
        <v>0.494739344</v>
      </c>
    </row>
    <row r="28" spans="1:17">
      <c r="A28" s="9" t="s">
        <v>31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</row>
    <row r="29" spans="1:17">
      <c r="A29" s="9" t="s">
        <v>32</v>
      </c>
      <c r="B29" s="10">
        <v>76004.37444</v>
      </c>
      <c r="C29" s="10">
        <v>0.016393621</v>
      </c>
      <c r="D29" s="10">
        <v>77530.67099</v>
      </c>
      <c r="E29" s="10">
        <v>0.013997932</v>
      </c>
      <c r="F29" s="10">
        <v>76902.88211</v>
      </c>
      <c r="G29" s="10">
        <v>0.016665335</v>
      </c>
      <c r="H29" s="10">
        <v>77874.61381</v>
      </c>
      <c r="I29" s="10">
        <v>0.016527932</v>
      </c>
      <c r="J29" s="10">
        <v>78718.99998</v>
      </c>
      <c r="K29" s="10">
        <v>0.016363758</v>
      </c>
      <c r="L29" s="10">
        <v>79407.24113</v>
      </c>
      <c r="M29" s="10">
        <v>0.016165944</v>
      </c>
      <c r="N29" s="10">
        <v>80259.42888</v>
      </c>
      <c r="O29" s="10">
        <v>0.015951512</v>
      </c>
      <c r="P29" s="10">
        <v>80552.22906</v>
      </c>
      <c r="Q29" s="10">
        <v>0.01558688</v>
      </c>
    </row>
    <row r="30" spans="1:17">
      <c r="A30" s="9" t="s">
        <v>24</v>
      </c>
      <c r="B30" s="10">
        <v>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</row>
    <row r="31" spans="1:17">
      <c r="A31" s="7" t="s">
        <v>33</v>
      </c>
      <c r="B31" s="8">
        <v>1026722.265</v>
      </c>
      <c r="C31" s="8">
        <v>0.095901238</v>
      </c>
      <c r="D31" s="8">
        <v>1059783.962</v>
      </c>
      <c r="E31" s="8">
        <v>0.094055229</v>
      </c>
      <c r="F31" s="8">
        <v>1084816.319</v>
      </c>
      <c r="G31" s="8">
        <v>0.091313056</v>
      </c>
      <c r="H31" s="8">
        <v>1006668.045</v>
      </c>
      <c r="I31" s="8">
        <v>0.086571607</v>
      </c>
      <c r="J31" s="8">
        <v>1006668.045</v>
      </c>
      <c r="K31" s="8">
        <v>0.086571607</v>
      </c>
      <c r="L31" s="8">
        <v>1071574.887</v>
      </c>
      <c r="M31" s="8">
        <v>0.083173486</v>
      </c>
      <c r="N31" s="8">
        <v>1105657.439</v>
      </c>
      <c r="O31" s="8">
        <v>0.080783894</v>
      </c>
      <c r="P31" s="8">
        <v>1137258.881</v>
      </c>
      <c r="Q31" s="8">
        <v>0.077583089</v>
      </c>
    </row>
    <row r="32" spans="1:17">
      <c r="A32" s="7" t="s">
        <v>34</v>
      </c>
      <c r="B32" s="8">
        <v>1464.018534</v>
      </c>
      <c r="C32" s="8">
        <v>0.008476671</v>
      </c>
      <c r="D32" s="8">
        <v>2137.102519</v>
      </c>
      <c r="E32" s="8">
        <v>0.011987807</v>
      </c>
      <c r="F32" s="8">
        <v>2152.358622</v>
      </c>
      <c r="G32" s="8">
        <v>0.011794789</v>
      </c>
      <c r="H32" s="8">
        <v>1808.515492</v>
      </c>
      <c r="I32" s="8">
        <v>0.010679913</v>
      </c>
      <c r="J32" s="8">
        <v>1808.515492</v>
      </c>
      <c r="K32" s="8">
        <v>0.010679913</v>
      </c>
      <c r="L32" s="8">
        <v>2280.903112</v>
      </c>
      <c r="M32" s="8">
        <v>0.012653657</v>
      </c>
      <c r="N32" s="8">
        <v>2391.432008</v>
      </c>
      <c r="O32" s="8">
        <v>0.012857875</v>
      </c>
      <c r="P32" s="8">
        <v>2328.138295</v>
      </c>
      <c r="Q32" s="8">
        <v>0.012169737</v>
      </c>
    </row>
    <row r="33" customFormat="1" spans="1:13">
      <c r="A33" s="15" t="s">
        <v>24</v>
      </c>
      <c r="B33" s="16">
        <v>26000</v>
      </c>
      <c r="C33" s="17">
        <v>0.213</v>
      </c>
      <c r="D33" s="16">
        <v>26468</v>
      </c>
      <c r="E33" s="17">
        <v>0.21</v>
      </c>
      <c r="F33" s="16">
        <v>26936</v>
      </c>
      <c r="G33" s="17">
        <v>0.207</v>
      </c>
      <c r="H33" s="16">
        <v>27404</v>
      </c>
      <c r="I33" s="17">
        <v>0.204</v>
      </c>
      <c r="J33" s="16">
        <v>27872</v>
      </c>
      <c r="K33" s="17">
        <v>0.201</v>
      </c>
      <c r="L33" s="16">
        <v>28340</v>
      </c>
      <c r="M33" s="17">
        <v>0.198</v>
      </c>
    </row>
    <row r="34" customFormat="1" spans="1:13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</row>
    <row r="35" customFormat="1" spans="1:13">
      <c r="A35" s="19" t="s">
        <v>34</v>
      </c>
      <c r="B35" s="16"/>
      <c r="C35" s="17">
        <f t="shared" ref="C35:G35" si="0">((B3*C3)-(B22*C22))/12</f>
        <v>7430.77647300256</v>
      </c>
      <c r="D35" s="16"/>
      <c r="E35" s="17">
        <f t="shared" si="0"/>
        <v>7534.60785557504</v>
      </c>
      <c r="F35" s="16"/>
      <c r="G35" s="17">
        <f t="shared" si="0"/>
        <v>7449.98640551281</v>
      </c>
      <c r="H35" s="16"/>
      <c r="I35" s="17">
        <f t="shared" ref="I35:M35" si="1">((H3*I3)-(H22*I22))/12</f>
        <v>6448.2545742755</v>
      </c>
      <c r="J35" s="16"/>
      <c r="K35" s="17">
        <f t="shared" si="1"/>
        <v>6441.50369698938</v>
      </c>
      <c r="L35" s="16"/>
      <c r="M35" s="17">
        <f t="shared" si="1"/>
        <v>6612.62778125601</v>
      </c>
    </row>
    <row r="36" customFormat="1" spans="1:13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</row>
    <row r="37" customFormat="1" spans="1:13">
      <c r="A37" s="19" t="s">
        <v>35</v>
      </c>
      <c r="B37" s="16"/>
      <c r="C37" s="17">
        <v>-0.204117183732519</v>
      </c>
      <c r="D37" s="16"/>
      <c r="E37" s="17">
        <v>-0.200039403853488</v>
      </c>
      <c r="F37" s="16"/>
      <c r="G37" s="17">
        <v>-0.194877897444141</v>
      </c>
      <c r="H37" s="16"/>
      <c r="I37" s="17">
        <v>-0.190514878501949</v>
      </c>
      <c r="J37" s="16"/>
      <c r="K37" s="17">
        <v>-0.185779650764733</v>
      </c>
      <c r="L37" s="16"/>
      <c r="M37" s="17">
        <v>-0.181278609109906</v>
      </c>
    </row>
    <row r="38" customFormat="1" spans="1:13">
      <c r="A38" s="19" t="s">
        <v>36</v>
      </c>
      <c r="B38" s="16"/>
      <c r="C38" s="17">
        <f t="shared" ref="C38:G38" si="2">C37*0.15</f>
        <v>-0.0306175775598778</v>
      </c>
      <c r="D38" s="16"/>
      <c r="E38" s="17">
        <f t="shared" si="2"/>
        <v>-0.0300059105780232</v>
      </c>
      <c r="F38" s="16"/>
      <c r="G38" s="17">
        <f t="shared" si="2"/>
        <v>-0.0292316846166211</v>
      </c>
      <c r="H38" s="16"/>
      <c r="I38" s="17">
        <f t="shared" ref="I38:M38" si="3">I37*0.15</f>
        <v>-0.0285772317752923</v>
      </c>
      <c r="J38" s="16"/>
      <c r="K38" s="17">
        <f t="shared" si="3"/>
        <v>-0.02786694761471</v>
      </c>
      <c r="L38" s="16"/>
      <c r="M38" s="17">
        <f t="shared" si="3"/>
        <v>-0.0271917913664859</v>
      </c>
    </row>
  </sheetData>
  <mergeCells count="8">
    <mergeCell ref="B1:C1"/>
    <mergeCell ref="D1:E1"/>
    <mergeCell ref="F1:G1"/>
    <mergeCell ref="H1:I1"/>
    <mergeCell ref="J1:K1"/>
    <mergeCell ref="L1:M1"/>
    <mergeCell ref="N1:O1"/>
    <mergeCell ref="P1:Q1"/>
  </mergeCell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"/>
  <sheetViews>
    <sheetView workbookViewId="0">
      <selection activeCell="A1" sqref="A1"/>
    </sheetView>
  </sheetViews>
  <sheetFormatPr defaultColWidth="9" defaultRowHeight="14" outlineLevelRow="7"/>
  <cols>
    <col min="1" max="1" width="90" customWidth="1"/>
  </cols>
  <sheetData>
    <row r="1" spans="1:1">
      <c r="A1" s="1" t="s">
        <v>37</v>
      </c>
    </row>
    <row r="2" spans="1:1">
      <c r="A2" t="s">
        <v>38</v>
      </c>
    </row>
    <row r="3" spans="1:1">
      <c r="A3" t="s">
        <v>39</v>
      </c>
    </row>
    <row r="5" spans="1:1">
      <c r="A5" s="1" t="s">
        <v>40</v>
      </c>
    </row>
    <row r="6" spans="1:1">
      <c r="A6" t="s">
        <v>41</v>
      </c>
    </row>
    <row r="7" spans="1:1">
      <c r="A7" t="s">
        <v>42</v>
      </c>
    </row>
    <row r="8" spans="1:1">
      <c r="A8" t="s">
        <v>43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1">
    <comment s:ref="C37" rgbClr="000000"/>
  </commentList>
</comment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Example_Insert_Data</vt:lpstr>
      <vt:lpstr>README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doguctan</cp:lastModifiedBy>
  <dcterms:created xsi:type="dcterms:W3CDTF">2026-03-06T14:55:00Z</dcterms:created>
  <dcterms:modified xsi:type="dcterms:W3CDTF">2026-03-09T14:02:27Z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1033-5.6.0.8082</vt:lpwstr>
  </property>
</Properties>
</file>